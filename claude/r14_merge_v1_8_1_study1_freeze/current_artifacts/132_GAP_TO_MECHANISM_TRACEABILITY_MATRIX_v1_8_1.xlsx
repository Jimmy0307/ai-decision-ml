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_to_M_matrix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family val="2"/>
      <b val="1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DDE7F0"/>
        <bgColor rgb="FFCCFFFF"/>
      </patternFill>
    </fill>
  </fills>
  <borders count="2">
    <border>
      <left/>
      <right/>
      <top/>
      <bottom/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2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2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H1" authorId="0" shapeId="0">
      <text>
        <t>O/E is descriptive magnitude relative to the analytic expectation; literature evidence only — not an enterprise effect size or model weight.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0" customWidth="1" style="8" min="1" max="1"/>
  </cols>
  <sheetData>
    <row r="1" ht="15" customHeight="1" s="9">
      <c r="A1" s="10" t="inlineStr">
        <is>
          <t>132 — GAP_TO_MECHANISM_TRACEABILITY_MATRIX (v1.7, 2026-10-14)</t>
        </is>
      </c>
    </row>
    <row r="2" ht="15" customHeight="1" s="9">
      <c r="A2" s="11" t="inlineStr">
        <is>
          <t>Chain: literature pattern → gap candidate → enterprise decision interface → observable mechanism → variable → equation.</t>
        </is>
      </c>
    </row>
    <row r="3" ht="15" customHeight="1" s="9">
      <c r="A3" s="11" t="inlineStr">
        <is>
          <t>Status: THEORETICAL CONVERGENCE COMPLETE (researcher-adjudicated); HUMAN CONSTRUCT VALIDATION PENDING.</t>
        </is>
      </c>
    </row>
    <row r="4" ht="15" customHeight="1" s="9">
      <c r="A4" s="11" t="inlineStr">
        <is>
          <t>Researcher adjudication ≠ human construct validation; AI blind coding ≠ human construct validation.</t>
        </is>
      </c>
    </row>
    <row r="5" ht="15" customHeight="1" s="9">
      <c r="A5" s="11" t="inlineStr">
        <is>
          <t>Network columns (O, E, O/E, p_BH) are LITERATURE EVIDENCE ONLY. They never enter any enterprise-model weight, coefficient, prior or threshold.</t>
        </is>
      </c>
    </row>
    <row r="6" ht="15" customHeight="1" s="9">
      <c r="A6" s="11" t="inlineStr">
        <is>
          <t>DEPLETION = pairing appears relatively less often in the literature under the specified null and observed margins. It does NOT mean an enterprise problem, ineffective AI, incompatibility, causal deficiency, or a Burt structural hole.</t>
        </is>
      </c>
    </row>
    <row r="7" ht="15" customHeight="1" s="9">
      <c r="A7" s="11" t="inlineStr">
        <is>
          <t>Sources: r14/04_G01_G16_FROZEN.csv (export 2026-10-09; network numbers); r14/14 crosswalk (evidence-unit tag); r14/05 §2 and §6 (mechanism, interface, observable, variable; researcher-adjudicated); 54C (AI pilot); v1_human_results (human V1 = PENDING).</t>
        </is>
      </c>
    </row>
    <row r="8" ht="15" customHeight="1" s="9">
      <c r="A8" s="11" t="inlineStr">
        <is>
          <t>VERIFIED_SOURCE: label-substitution note ('未移除〔VERIFIED_SOURCE: …〕'): the V9 human-validation package (folder 20260929_V9_HUMAN_VALIDATION; zip sha256 8f63e88e…) was recovered and partially verified in V1.8 (V9_SOURCE_VERIFIED=PARTIAL). Each G row was checked against the manifest-pinned ROBUST_CORE_LOCAL_SENSITIVITY.csv (sha256 e3166ee183e1…; sidecar produced 2026-10-03, not 2026-09-29) and V1.8 04_LOCAL_SENSITIVITY_REPRODUCTION.md T2 (sha256 d9ab7bbf8b47…): no G01–G16 cell removed. Scope: local label-replacement sidecar (20 reconciled + 30 first-coder labels), not a full reanalysis; the V9.1 evidence re-segmentation sensitivity is separate (G07/G15 boundary-sensitive). Manuscript Appendix E39.</t>
        </is>
      </c>
    </row>
    <row r="9" ht="15" customHeight="1" s="9">
      <c r="A9" s="11" t="inlineStr">
        <is>
          <t>Literature-interpretation wording is a conservative restatement of r14/05 'Theoretical_Problem' (always relative to the null baseline).</t>
        </is>
      </c>
    </row>
    <row r="10" ht="15" customHeight="1" s="9">
      <c r="A10" s="11" t="inlineStr">
        <is>
          <t>This file contains no formulas except the Summary sheet counts; no enterprise data.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8" min="1" max="1"/>
    <col width="26" customWidth="1" style="8" min="2" max="2"/>
    <col width="12" customWidth="1" style="8" min="3" max="3"/>
    <col width="28" customWidth="1" style="8" min="4" max="4"/>
    <col width="12" customWidth="1" style="8" min="5" max="5"/>
    <col width="8" customWidth="1" style="8" min="6" max="6"/>
    <col width="10" customWidth="1" style="8" min="7" max="7"/>
    <col width="7" customWidth="1" style="8" min="8" max="8"/>
    <col width="9" customWidth="1" style="8" min="9" max="10"/>
    <col width="11" customWidth="1" style="8" min="11" max="11"/>
    <col width="9" customWidth="1" style="8" min="12" max="12"/>
    <col width="40" customWidth="1" style="8" min="13" max="13"/>
    <col width="10" customWidth="1" style="8" min="14" max="14"/>
    <col width="48" customWidth="1" style="8" min="15" max="15"/>
    <col width="22" customWidth="1" style="8" min="16" max="16"/>
    <col width="12" customWidth="1" style="8" min="17" max="17"/>
    <col width="9" customWidth="1" style="8" min="18" max="18"/>
    <col width="18" customWidth="1" style="8" min="19" max="19"/>
    <col width="40" customWidth="1" style="8" min="20" max="20"/>
    <col width="46" customWidth="1" style="8" min="21" max="21"/>
    <col width="40" customWidth="1" style="8" min="22" max="22"/>
    <col width="44" customWidth="1" style="8" min="23" max="23"/>
    <col width="34" customWidth="1" style="8" min="24" max="25"/>
    <col width="44" customWidth="1" style="8" min="26" max="26"/>
    <col width="40" customWidth="1" style="8" min="27" max="27"/>
  </cols>
  <sheetData>
    <row r="1" ht="46.25" customHeight="1" s="9">
      <c r="A1" s="12" t="inlineStr">
        <is>
          <t>G ID</t>
        </is>
      </c>
      <c r="B1" s="12" t="inlineStr">
        <is>
          <t>AI family</t>
        </is>
      </c>
      <c r="C1" s="12" t="inlineStr">
        <is>
          <t>AI family（中）</t>
        </is>
      </c>
      <c r="D1" s="12" t="inlineStr">
        <is>
          <t>Decision family</t>
        </is>
      </c>
      <c r="E1" s="12" t="inlineStr">
        <is>
          <t>Decision family（中）</t>
        </is>
      </c>
      <c r="F1" s="12" t="inlineStr">
        <is>
          <t>O (doc-level edges)</t>
        </is>
      </c>
      <c r="G1" s="12" t="inlineStr">
        <is>
          <t>E analytic = k_a·k_d/M</t>
        </is>
      </c>
      <c r="H1" s="12" t="inlineStr">
        <is>
          <t>O/E</t>
        </is>
      </c>
      <c r="I1" s="12" t="inlineStr">
        <is>
          <t>p_BH primary</t>
        </is>
      </c>
      <c r="J1" s="12" t="inlineStr">
        <is>
          <t>p_BH exact</t>
        </is>
      </c>
      <c r="K1" s="12" t="inlineStr">
        <is>
          <t>p_BH document-preserving</t>
        </is>
      </c>
      <c r="L1" s="12" t="inlineStr">
        <is>
          <t>p_BH raw-record</t>
        </is>
      </c>
      <c r="M1" s="12" t="inlineStr">
        <is>
          <t>Network status</t>
        </is>
      </c>
      <c r="N1" s="12" t="inlineStr">
        <is>
          <t>Evidence-unit persistence</t>
        </is>
      </c>
      <c r="O1" s="12" t="inlineStr">
        <is>
          <t>Literature interpretation（相對於零模型基準）</t>
        </is>
      </c>
      <c r="P1" s="12" t="inlineStr">
        <is>
          <t>Enterprise mechanism candidate（介面）</t>
        </is>
      </c>
      <c r="Q1" s="12" t="inlineStr">
        <is>
          <t>M assignment primary</t>
        </is>
      </c>
      <c r="R1" s="12" t="inlineStr">
        <is>
          <t>M secondary</t>
        </is>
      </c>
      <c r="S1" s="12" t="inlineStr">
        <is>
          <t>Model status</t>
        </is>
      </c>
      <c r="T1" s="12" t="inlineStr">
        <is>
          <t>Observable evidence</t>
        </is>
      </c>
      <c r="U1" s="12" t="inlineStr">
        <is>
          <t>Model variable implication</t>
        </is>
      </c>
      <c r="V1" s="12" t="inlineStr">
        <is>
          <t>AI pilot vs researcher</t>
        </is>
      </c>
      <c r="W1" s="12" t="inlineStr">
        <is>
          <t>Validation status</t>
        </is>
      </c>
      <c r="X1" s="12" t="inlineStr">
        <is>
          <t>Source: network</t>
        </is>
      </c>
      <c r="Y1" s="12" t="inlineStr">
        <is>
          <t>Source: evidence-unit tag</t>
        </is>
      </c>
      <c r="Z1" s="12" t="inlineStr">
        <is>
          <t>Source: mechanism/observable/variable</t>
        </is>
      </c>
      <c r="AA1" s="12" t="inlineStr">
        <is>
          <t>Source: AI pilot</t>
        </is>
      </c>
    </row>
    <row r="2" ht="44" customHeight="1" s="9">
      <c r="A2" s="13" t="inlineStr">
        <is>
          <t>G01</t>
        </is>
      </c>
      <c r="B2" s="13" t="inlineStr">
        <is>
          <t>HUMAN_AUGMENTATION</t>
        </is>
      </c>
      <c r="C2" s="14" t="inlineStr">
        <is>
          <t>人機增能</t>
        </is>
      </c>
      <c r="D2" s="13" t="inlineStr">
        <is>
          <t>PREDICTION_DIAGNOSIS</t>
        </is>
      </c>
      <c r="E2" s="14" t="inlineStr">
        <is>
          <t>預測與診斷</t>
        </is>
      </c>
      <c r="F2" s="13" t="n">
        <v>3</v>
      </c>
      <c r="G2" s="15" t="n">
        <v>25.8899082568807</v>
      </c>
      <c r="H2" s="16" t="n">
        <v>0.1159</v>
      </c>
      <c r="I2" s="13" t="inlineStr">
        <is>
          <t>0.0009</t>
        </is>
      </c>
      <c r="J2" s="13" t="inlineStr">
        <is>
          <t>&lt;0.0001</t>
        </is>
      </c>
      <c r="K2" s="13" t="inlineStr">
        <is>
          <t>0.0024</t>
        </is>
      </c>
      <c r="L2" s="13" t="inlineStr">
        <is>
          <t>&lt;0.0001</t>
        </is>
      </c>
      <c r="M2" s="14" t="inlineStr">
        <is>
          <t>主要穩健不足呈現（四項分析皆 p_BH ≤ .05 且方向一致）；證據單元：持續；目標式人工標籤替換：未移除〔VERIFIED_SOURCE: V9 ROBUST_CORE_LOCAL_SENSITIVITY.csv (sha256 e3166ee183e1…) row HUMAN_AUGMENTATION×PREDICTION_DIAGNOSIS: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2" s="14" t="inlineStr">
        <is>
          <t>持續</t>
        </is>
      </c>
      <c r="O2" s="14" t="inlineStr">
        <is>
          <t>人機增能與預測與診斷的直接配對低於邊際基準；人機在預測／診斷任務上的分工與相對表現較少被直接連結討論</t>
        </is>
      </c>
      <c r="P2" s="13" t="inlineStr">
        <is>
          <t>I3 人機配置與反應</t>
        </is>
      </c>
      <c r="Q2" s="13" t="inlineStr">
        <is>
          <t>M3（anchor）</t>
        </is>
      </c>
      <c r="R2" s="13" t="inlineStr">
        <is>
          <t>M4</t>
        </is>
      </c>
      <c r="S2" s="13" t="inlineStr">
        <is>
          <t>static core</t>
        </is>
      </c>
      <c r="T2" s="14" t="inlineStr">
        <is>
          <t>各 initiative 的決策順序、最終權、是否聚合；角色別使用、查核、修改、拒用的實際頻率</t>
        </is>
      </c>
      <c r="U2" s="13" t="inlineStr">
        <is>
          <t>m_k、A_k；Cons(A_k,m_k)（F8）；ρ、P、π 進期望結果（X1）</t>
        </is>
      </c>
      <c r="V2" s="14" t="inlineStr">
        <is>
          <t>一致</t>
        </is>
      </c>
      <c r="W2" s="14" t="inlineStr">
        <is>
          <t>研究者裁決（理論收斂完成）；人類 V1 盲編待完成</t>
        </is>
      </c>
      <c r="X2" s="13" t="inlineStr">
        <is>
          <t>r14/04_G01_G16_FROZEN.csv data row 1 (file line 2)</t>
        </is>
      </c>
      <c r="Y2" s="13" t="inlineStr">
        <is>
          <t>r14/14_R14_TO_G01_G16_STATUS_CROSSWALK.csv data row 1</t>
        </is>
      </c>
      <c r="Z2" s="13" t="inlineStr">
        <is>
          <t>r14/05_GAP_TO_MECHANISM_CONVERGENCE_v2_1.md line 50 (§2) and line 219 (§6)</t>
        </is>
      </c>
      <c r="AA2" s="13" t="inlineStr">
        <is>
          <t>54C_AI_BLIND_CODING_PILOT_RESULTS_v2_2.md case C02 (§3 table)</t>
        </is>
      </c>
    </row>
    <row r="3" ht="44" customHeight="1" s="9">
      <c r="A3" s="13" t="inlineStr">
        <is>
          <t>G02</t>
        </is>
      </c>
      <c r="B3" s="13" t="inlineStr">
        <is>
          <t>PREDICTION_RISK_ESTIMATION</t>
        </is>
      </c>
      <c r="C3" s="14" t="inlineStr">
        <is>
          <t>預測與風險估計</t>
        </is>
      </c>
      <c r="D3" s="13" t="inlineStr">
        <is>
          <t>HUMAN_REVIEW_ACCOUNTABILITY</t>
        </is>
      </c>
      <c r="E3" s="14" t="inlineStr">
        <is>
          <t>人工複核與問責</t>
        </is>
      </c>
      <c r="F3" s="13" t="n">
        <v>6</v>
      </c>
      <c r="G3" s="15" t="n">
        <v>44.9284403669725</v>
      </c>
      <c r="H3" s="16" t="n">
        <v>0.1335</v>
      </c>
      <c r="I3" s="13" t="inlineStr">
        <is>
          <t>0.0009</t>
        </is>
      </c>
      <c r="J3" s="13" t="inlineStr">
        <is>
          <t>&lt;0.0001</t>
        </is>
      </c>
      <c r="K3" s="13" t="inlineStr">
        <is>
          <t>0.0024</t>
        </is>
      </c>
      <c r="L3" s="13" t="inlineStr">
        <is>
          <t>&lt;0.0001</t>
        </is>
      </c>
      <c r="M3" s="14" t="inlineStr">
        <is>
          <t>主要穩健不足呈現（四項分析皆 p_BH ≤ .05 且方向一致）；證據單元：持續；目標式人工標籤替換：未移除〔VERIFIED_SOURCE: V9 ROBUST_CORE_LOCAL_SENSITIVITY.csv (sha256 e3166ee183e1…) row PREDICTION_RISK_ESTIMATION×HUMAN_REVIEW_ACCOUNTABILITY: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3" s="14" t="inlineStr">
        <is>
          <t>持續</t>
        </is>
      </c>
      <c r="O3" s="14" t="inlineStr">
        <is>
          <t>風險估計輸出與人工複核、問責的直接配對低於基準；誰審、何時審、誰負責較少被直接連結</t>
        </is>
      </c>
      <c r="P3" s="13" t="inlineStr">
        <is>
          <t>I1 授權行動（部門層）</t>
        </is>
      </c>
      <c r="Q3" s="13" t="inlineStr">
        <is>
          <t>M1</t>
        </is>
      </c>
      <c r="R3" s="13" t="inlineStr">
        <is>
          <t>M3</t>
        </is>
      </c>
      <c r="S3" s="13" t="inlineStr">
        <is>
          <t>static core（併入 I1）</t>
        </is>
      </c>
      <c r="T3" s="14" t="inlineStr">
        <is>
          <t>部門層對特定 initiative 的審查責任人、行動前否決權、可見資訊與時間（有效控制）</t>
        </is>
      </c>
      <c r="U3" s="13" t="inlineStr">
        <is>
          <t>H_k ≥ H^req_γ(A_k,κ_j)（F5a）；Eff_H（F6）</t>
        </is>
      </c>
      <c r="V3" s="14" t="inlineStr">
        <is>
          <t>一致</t>
        </is>
      </c>
      <c r="W3" s="14" t="inlineStr">
        <is>
          <t>研究者裁決（理論收斂完成）；人類 V1 盲編待完成</t>
        </is>
      </c>
      <c r="X3" s="13" t="inlineStr">
        <is>
          <t>r14/04_G01_G16_FROZEN.csv data row 2 (file line 3)</t>
        </is>
      </c>
      <c r="Y3" s="13" t="inlineStr">
        <is>
          <t>r14/14_R14_TO_G01_G16_STATUS_CROSSWALK.csv data row 2</t>
        </is>
      </c>
      <c r="Z3" s="13" t="inlineStr">
        <is>
          <t>r14/05_GAP_TO_MECHANISM_CONVERGENCE_v2_1.md line 51 (§2) and line 214 (§6)</t>
        </is>
      </c>
      <c r="AA3" s="13" t="inlineStr">
        <is>
          <t>54C_AI_BLIND_CODING_PILOT_RESULTS_v2_2.md case C04 (§3 table)</t>
        </is>
      </c>
    </row>
    <row r="4" ht="44" customHeight="1" s="9">
      <c r="A4" s="13" t="inlineStr">
        <is>
          <t>G03</t>
        </is>
      </c>
      <c r="B4" s="13" t="inlineStr">
        <is>
          <t>COORDINATION_EXECUTION</t>
        </is>
      </c>
      <c r="C4" s="14" t="inlineStr">
        <is>
          <t>協調與執行</t>
        </is>
      </c>
      <c r="D4" s="13" t="inlineStr">
        <is>
          <t>RISK_ASSESSMENT</t>
        </is>
      </c>
      <c r="E4" s="14" t="inlineStr">
        <is>
          <t>風險評估</t>
        </is>
      </c>
      <c r="F4" s="13" t="n">
        <v>3</v>
      </c>
      <c r="G4" s="15" t="n">
        <v>16.7766055045872</v>
      </c>
      <c r="H4" s="16" t="n">
        <v>0.1788</v>
      </c>
      <c r="I4" s="13" t="inlineStr">
        <is>
          <t>0.0009</t>
        </is>
      </c>
      <c r="J4" s="13" t="inlineStr">
        <is>
          <t>0.0002</t>
        </is>
      </c>
      <c r="K4" s="13" t="inlineStr">
        <is>
          <t>0.0024</t>
        </is>
      </c>
      <c r="L4" s="13" t="inlineStr">
        <is>
          <t>&lt;0.0001</t>
        </is>
      </c>
      <c r="M4" s="14" t="inlineStr">
        <is>
          <t>主要穩健不足呈現（四項分析皆 p_BH ≤ .05 且方向一致）；證據單元：持續；目標式人工標籤替換：未移除〔VERIFIED_SOURCE: V9 ROBUST_CORE_LOCAL_SENSITIVITY.csv (sha256 e3166ee183e1…) row COORDINATION_EXECUTION×RISK_ASSESSMENT: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4" s="14" t="inlineStr">
        <is>
          <t>持續</t>
        </is>
      </c>
      <c r="O4" s="14" t="inlineStr">
        <is>
          <t>協調與執行能力與風險評估的直接配對低於基準；被執行的流程如何承接風險、例外與回復較少被直接連結</t>
        </is>
      </c>
      <c r="P4" s="13" t="inlineStr">
        <is>
          <t>I2 路由與回復</t>
        </is>
      </c>
      <c r="Q4" s="13" t="inlineStr">
        <is>
          <t>M2（anchor）</t>
        </is>
      </c>
      <c r="R4" s="13" t="inlineStr">
        <is>
          <t>M1</t>
        </is>
      </c>
      <c r="S4" s="13" t="inlineStr">
        <is>
          <t>static core</t>
        </is>
      </c>
      <c r="T4" s="13" t="inlineStr">
        <is>
          <t>AI 輸出的路由深度；例外路由；回復（rollback）是否存在；整合工時</t>
        </is>
      </c>
      <c r="U4" s="13" t="inlineStr">
        <is>
          <t>WI_k ≥ WI^req_γ（F5b）；FB_jk（F7）；C^impl；工程容量（R1、R2）</t>
        </is>
      </c>
      <c r="V4" s="14" t="inlineStr">
        <is>
          <t>一致</t>
        </is>
      </c>
      <c r="W4" s="14" t="inlineStr">
        <is>
          <t>研究者裁決（理論收斂完成）；人類 V1 盲編待完成</t>
        </is>
      </c>
      <c r="X4" s="13" t="inlineStr">
        <is>
          <t>r14/04_G01_G16_FROZEN.csv data row 3 (file line 4)</t>
        </is>
      </c>
      <c r="Y4" s="13" t="inlineStr">
        <is>
          <t>r14/14_R14_TO_G01_G16_STATUS_CROSSWALK.csv data row 3</t>
        </is>
      </c>
      <c r="Z4" s="13" t="inlineStr">
        <is>
          <t>r14/05_GAP_TO_MECHANISM_CONVERGENCE_v2_1.md line 52 (§2) and line 217 (§6)</t>
        </is>
      </c>
      <c r="AA4" s="13" t="inlineStr">
        <is>
          <t>54C_AI_BLIND_CODING_PILOT_RESULTS_v2_2.md case C12 (§3 table)</t>
        </is>
      </c>
    </row>
    <row r="5" ht="44" customHeight="1" s="9">
      <c r="A5" s="13" t="inlineStr">
        <is>
          <t>G04</t>
        </is>
      </c>
      <c r="B5" s="13" t="inlineStr">
        <is>
          <t>GENERATION_SYNTHESIS</t>
        </is>
      </c>
      <c r="C5" s="14" t="inlineStr">
        <is>
          <t>生成與合成</t>
        </is>
      </c>
      <c r="D5" s="13" t="inlineStr">
        <is>
          <t>PREDICTION_DIAGNOSIS</t>
        </is>
      </c>
      <c r="E5" s="14" t="inlineStr">
        <is>
          <t>預測與診斷</t>
        </is>
      </c>
      <c r="F5" s="13" t="n">
        <v>7</v>
      </c>
      <c r="G5" s="15" t="n">
        <v>38.2110091743119</v>
      </c>
      <c r="H5" s="16" t="n">
        <v>0.1832</v>
      </c>
      <c r="I5" s="13" t="inlineStr">
        <is>
          <t>0.0009</t>
        </is>
      </c>
      <c r="J5" s="13" t="inlineStr">
        <is>
          <t>&lt;0.0001</t>
        </is>
      </c>
      <c r="K5" s="13" t="inlineStr">
        <is>
          <t>0.0042</t>
        </is>
      </c>
      <c r="L5" s="13" t="inlineStr">
        <is>
          <t>&lt;0.0001</t>
        </is>
      </c>
      <c r="M5" s="14" t="inlineStr">
        <is>
          <t>主要穩健不足呈現（四項分析皆 p_BH ≤ .05 且方向一致）；證據單元：持續；目標式人工標籤替換：未移除〔VERIFIED_SOURCE: V9 ROBUST_CORE_LOCAL_SENSITIVITY.csv (sha256 e3166ee183e1…) row GENERATION_SYNTHESIS×PREDICTION_DIAGNOSIS: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5" s="14" t="inlineStr">
        <is>
          <t>持續</t>
        </is>
      </c>
      <c r="O5" s="14" t="inlineStr">
        <is>
          <t>生成與合成與預測與診斷的直接配對低於基準；描述的是技術應用前沿，未指向獨立的組織配置決策</t>
        </is>
      </c>
      <c r="P5" s="14" t="inlineStr">
        <is>
          <t>無獨立介面</t>
        </is>
      </c>
      <c r="Q5" s="13" t="inlineStr">
        <is>
          <t>—</t>
        </is>
      </c>
      <c r="R5" s="13" t="inlineStr">
        <is>
          <t>—</t>
        </is>
      </c>
      <c r="S5" s="13" t="inlineStr">
        <is>
          <t>evidence-only</t>
        </is>
      </c>
      <c r="T5" s="14" t="inlineStr">
        <is>
          <t>無（企業中的生成式診斷 initiative 之配置問題已由 I1–I4 表達）</t>
        </is>
      </c>
      <c r="U5" s="14" t="inlineStr">
        <is>
          <t>不建模</t>
        </is>
      </c>
      <c r="V5" s="14" t="inlineStr">
        <is>
          <t>分歧：AI 為 M4／static；研究者為 evidence-only（主機制與狀態皆不同；mapping-only）</t>
        </is>
      </c>
      <c r="W5" s="14" t="inlineStr">
        <is>
          <t>研究者裁決（理論收斂完成）；人類 V1 盲編待完成</t>
        </is>
      </c>
      <c r="X5" s="13" t="inlineStr">
        <is>
          <t>r14/04_G01_G16_FROZEN.csv data row 4 (file line 5)</t>
        </is>
      </c>
      <c r="Y5" s="13" t="inlineStr">
        <is>
          <t>r14/14_R14_TO_G01_G16_STATUS_CROSSWALK.csv data row 4</t>
        </is>
      </c>
      <c r="Z5" s="13" t="inlineStr">
        <is>
          <t>r14/05_GAP_TO_MECHANISM_CONVERGENCE_v2_1.md line 53 (§2) and line 228 (§6)</t>
        </is>
      </c>
      <c r="AA5" s="13" t="inlineStr">
        <is>
          <t>54C_AI_BLIND_CODING_PILOT_RESULTS_v2_2.md case C03 (§3 table)</t>
        </is>
      </c>
    </row>
    <row r="6" ht="44" customHeight="1" s="9">
      <c r="A6" s="13" t="inlineStr">
        <is>
          <t>G05</t>
        </is>
      </c>
      <c r="B6" s="13" t="inlineStr">
        <is>
          <t>EXPLANATION_ASSURANCE</t>
        </is>
      </c>
      <c r="C6" s="14" t="inlineStr">
        <is>
          <t>解釋與保證</t>
        </is>
      </c>
      <c r="D6" s="13" t="inlineStr">
        <is>
          <t>ALLOCATION_PLANNING</t>
        </is>
      </c>
      <c r="E6" s="14" t="inlineStr">
        <is>
          <t>配置與規劃</t>
        </is>
      </c>
      <c r="F6" s="13" t="n">
        <v>7</v>
      </c>
      <c r="G6" s="15" t="n">
        <v>37.6266055045872</v>
      </c>
      <c r="H6" s="16" t="n">
        <v>0.186</v>
      </c>
      <c r="I6" s="13" t="inlineStr">
        <is>
          <t>0.0009</t>
        </is>
      </c>
      <c r="J6" s="13" t="inlineStr">
        <is>
          <t>&lt;0.0001</t>
        </is>
      </c>
      <c r="K6" s="13" t="inlineStr">
        <is>
          <t>0.0024</t>
        </is>
      </c>
      <c r="L6" s="13" t="inlineStr">
        <is>
          <t>&lt;0.0001</t>
        </is>
      </c>
      <c r="M6" s="14" t="inlineStr">
        <is>
          <t>主要穩健不足呈現（四項分析皆 p_BH ≤ .05 且方向一致）；證據單元：持續；目標式人工標籤替換：未移除〔VERIFIED_SOURCE: V9 ROBUST_CORE_LOCAL_SENSITIVITY.csv (sha256 e3166ee183e1…) row EXPLANATION_ASSURANCE×ALLOCATION_PLANNING: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6" s="14" t="inlineStr">
        <is>
          <t>持續</t>
        </is>
      </c>
      <c r="O6" s="14" t="inlineStr">
        <is>
          <t>解釋與保證能力與配置與規劃決策的直接配對低於基準</t>
        </is>
      </c>
      <c r="P6" s="13" t="inlineStr">
        <is>
          <t>I4 評估與保證（企業層）</t>
        </is>
      </c>
      <c r="Q6" s="13" t="inlineStr">
        <is>
          <t>M4</t>
        </is>
      </c>
      <c r="R6" s="13" t="inlineStr">
        <is>
          <t>M1</t>
        </is>
      </c>
      <c r="S6" s="13" t="inlineStr">
        <is>
          <t>static bridge（併入 I4）</t>
        </is>
      </c>
      <c r="T6" s="14" t="inlineStr">
        <is>
          <t>企業是否有共用評估基礎設施；配置決策是否附來源與穩健性等級</t>
        </is>
      </c>
      <c r="U6" s="13" t="inlineStr">
        <is>
          <t>y_EVAL ∈ Pre(j,k)（F4，若 EA_k ≥ EA^cap）；求解輸出附 provenance 與 robustness class</t>
        </is>
      </c>
      <c r="V6" s="14" t="inlineStr">
        <is>
          <t>一致</t>
        </is>
      </c>
      <c r="W6" s="14" t="inlineStr">
        <is>
          <t>研究者裁決（理論收斂完成）；人類 V1 盲編待完成</t>
        </is>
      </c>
      <c r="X6" s="13" t="inlineStr">
        <is>
          <t>r14/04_G01_G16_FROZEN.csv data row 5 (file line 6)</t>
        </is>
      </c>
      <c r="Y6" s="13" t="inlineStr">
        <is>
          <t>r14/14_R14_TO_G01_G16_STATUS_CROSSWALK.csv data row 5</t>
        </is>
      </c>
      <c r="Z6" s="13" t="inlineStr">
        <is>
          <t>r14/05_GAP_TO_MECHANISM_CONVERGENCE_v2_1.md line 54 (§2) and line 223 (§6)</t>
        </is>
      </c>
      <c r="AA6" s="13" t="inlineStr">
        <is>
          <t>54C_AI_BLIND_CODING_PILOT_RESULTS_v2_2.md case C07 (§3 table)</t>
        </is>
      </c>
    </row>
    <row r="7" ht="44" customHeight="1" s="9">
      <c r="A7" s="13" t="inlineStr">
        <is>
          <t>G06</t>
        </is>
      </c>
      <c r="B7" s="13" t="inlineStr">
        <is>
          <t>EVALUATION_ASSESSMENT</t>
        </is>
      </c>
      <c r="C7" s="14" t="inlineStr">
        <is>
          <t>評估與審核</t>
        </is>
      </c>
      <c r="D7" s="13" t="inlineStr">
        <is>
          <t>PREDICTION_DIAGNOSIS</t>
        </is>
      </c>
      <c r="E7" s="14" t="inlineStr">
        <is>
          <t>預測與診斷</t>
        </is>
      </c>
      <c r="F7" s="13" t="n">
        <v>9</v>
      </c>
      <c r="G7" s="15" t="n">
        <v>45.8532110091743</v>
      </c>
      <c r="H7" s="16" t="n">
        <v>0.1963</v>
      </c>
      <c r="I7" s="13" t="inlineStr">
        <is>
          <t>0.0009</t>
        </is>
      </c>
      <c r="J7" s="13" t="inlineStr">
        <is>
          <t>&lt;0.0001</t>
        </is>
      </c>
      <c r="K7" s="13" t="inlineStr">
        <is>
          <t>0.0024</t>
        </is>
      </c>
      <c r="L7" s="13" t="inlineStr">
        <is>
          <t>&lt;0.0001</t>
        </is>
      </c>
      <c r="M7" s="14" t="inlineStr">
        <is>
          <t>主要穩健不足呈現（四項分析皆 p_BH ≤ .05 且方向一致）；證據單元：持續；目標式人工標籤替換：未移除〔VERIFIED_SOURCE: V9 ROBUST_CORE_LOCAL_SENSITIVITY.csv (sha256 e3166ee183e1…) row EVALUATION_ASSESSMENT×PREDICTION_DIAGNOSIS: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7" s="14" t="inlineStr">
        <is>
          <t>持續</t>
        </is>
      </c>
      <c r="O7" s="14" t="inlineStr">
        <is>
          <t>評估與審核功能與預測與診斷決策的直接配對低於基準；對預測系統的評估與預測決策較少被直接連結</t>
        </is>
      </c>
      <c r="P7" s="13" t="inlineStr">
        <is>
          <t>I4 評估與保證</t>
        </is>
      </c>
      <c r="Q7" s="13" t="inlineStr">
        <is>
          <t>M4（anchor）</t>
        </is>
      </c>
      <c r="R7" s="13" t="inlineStr">
        <is>
          <t>—</t>
        </is>
      </c>
      <c r="S7" s="13" t="inlineStr">
        <is>
          <t>static core</t>
        </is>
      </c>
      <c r="T7" s="14" t="inlineStr">
        <is>
          <t>上線前測試、運作中效能量測、觸發式重驗證紀錄</t>
        </is>
      </c>
      <c r="U7" s="13" t="inlineStr">
        <is>
          <t>EA_k ≥ EA^req_γ(A_k,κ_j)（F5d）；EA 成本進 C^impl</t>
        </is>
      </c>
      <c r="V7" s="14" t="inlineStr">
        <is>
          <t>一致</t>
        </is>
      </c>
      <c r="W7" s="14" t="inlineStr">
        <is>
          <t>研究者裁決（理論收斂完成）；人類 V1 盲編待完成</t>
        </is>
      </c>
      <c r="X7" s="13" t="inlineStr">
        <is>
          <t>r14/04_G01_G16_FROZEN.csv data row 6 (file line 7)</t>
        </is>
      </c>
      <c r="Y7" s="13" t="inlineStr">
        <is>
          <t>r14/14_R14_TO_G01_G16_STATUS_CROSSWALK.csv data row 6</t>
        </is>
      </c>
      <c r="Z7" s="13" t="inlineStr">
        <is>
          <t>r14/05_GAP_TO_MECHANISM_CONVERGENCE_v2_1.md line 55 (§2) and line 222 (§6)</t>
        </is>
      </c>
      <c r="AA7" s="13" t="inlineStr">
        <is>
          <t>54C_AI_BLIND_CODING_PILOT_RESULTS_v2_2.md case C09 (§3 table)</t>
        </is>
      </c>
    </row>
    <row r="8" ht="44" customHeight="1" s="9">
      <c r="A8" s="13" t="inlineStr">
        <is>
          <t>G07</t>
        </is>
      </c>
      <c r="B8" s="13" t="inlineStr">
        <is>
          <t>HUMAN_AUGMENTATION</t>
        </is>
      </c>
      <c r="C8" s="14" t="inlineStr">
        <is>
          <t>人機增能</t>
        </is>
      </c>
      <c r="D8" s="13" t="inlineStr">
        <is>
          <t>EVALUATION_SELECTION</t>
        </is>
      </c>
      <c r="E8" s="14" t="inlineStr">
        <is>
          <t>評估與選擇</t>
        </is>
      </c>
      <c r="F8" s="13" t="n">
        <v>2</v>
      </c>
      <c r="G8" s="15" t="n">
        <v>9.74678899082569</v>
      </c>
      <c r="H8" s="16" t="n">
        <v>0.2052</v>
      </c>
      <c r="I8" s="13" t="inlineStr">
        <is>
          <t>0.0197</t>
        </is>
      </c>
      <c r="J8" s="13" t="inlineStr">
        <is>
          <t>0.0147</t>
        </is>
      </c>
      <c r="K8" s="13" t="inlineStr">
        <is>
          <t>0.0304</t>
        </is>
      </c>
      <c r="L8" s="13" t="inlineStr">
        <is>
          <t>0.029</t>
        </is>
      </c>
      <c r="M8" s="14" t="inlineStr">
        <is>
          <t>主要穩健不足呈現（四項分析皆 p_BH ≤ .05 且方向一致）；證據單元：邊界敏感；目標式人工標籤替換：未移除〔VERIFIED_SOURCE: V9 ROBUST_CORE_LOCAL_SENSITIVITY.csv (sha256 e3166ee183e1…) row HUMAN_AUGMENTATION×EVALUATION_SELECTION: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8" s="14" t="inlineStr">
        <is>
          <t>邊界敏感</t>
        </is>
      </c>
      <c r="O8" s="14" t="inlineStr">
        <is>
          <t>人機增能與評估與選擇的直接配對低於基準（O = 2，小計數，幅度不作解讀）</t>
        </is>
      </c>
      <c r="P8" s="13" t="inlineStr">
        <is>
          <t>I3 人機配置與反應</t>
        </is>
      </c>
      <c r="Q8" s="13" t="inlineStr">
        <is>
          <t>M3</t>
        </is>
      </c>
      <c r="R8" s="13" t="inlineStr">
        <is>
          <t>—</t>
        </is>
      </c>
      <c r="S8" s="13" t="inlineStr">
        <is>
          <t>static core（併入 I3）</t>
        </is>
      </c>
      <c r="T8" s="14" t="inlineStr">
        <is>
          <t>同 G01，任務型態為多選項評選</t>
        </is>
      </c>
      <c r="U8" s="14" t="inlineStr">
        <is>
          <t>同 G01；以 task_family 標籤記錄，不另設構念</t>
        </is>
      </c>
      <c r="V8" s="14" t="inlineStr">
        <is>
          <t>一致</t>
        </is>
      </c>
      <c r="W8" s="14" t="inlineStr">
        <is>
          <t>研究者裁決（理論收斂完成）；人類 V1 盲編待完成</t>
        </is>
      </c>
      <c r="X8" s="13" t="inlineStr">
        <is>
          <t>r14/04_G01_G16_FROZEN.csv data row 7 (file line 8)</t>
        </is>
      </c>
      <c r="Y8" s="13" t="inlineStr">
        <is>
          <t>r14/14_R14_TO_G01_G16_STATUS_CROSSWALK.csv data row 7</t>
        </is>
      </c>
      <c r="Z8" s="13" t="inlineStr">
        <is>
          <t>r14/05_GAP_TO_MECHANISM_CONVERGENCE_v2_1.md line 56 (§2) and line 220 (§6)</t>
        </is>
      </c>
      <c r="AA8" s="13" t="inlineStr">
        <is>
          <t>54C_AI_BLIND_CODING_PILOT_RESULTS_v2_2.md case C10 (§3 table)</t>
        </is>
      </c>
    </row>
    <row r="9" ht="44" customHeight="1" s="9">
      <c r="A9" s="13" t="inlineStr">
        <is>
          <t>G08</t>
        </is>
      </c>
      <c r="B9" s="13" t="inlineStr">
        <is>
          <t>RECOMMENDATION_OPTIMIZATION</t>
        </is>
      </c>
      <c r="C9" s="14" t="inlineStr">
        <is>
          <t>推薦與最佳化</t>
        </is>
      </c>
      <c r="D9" s="13" t="inlineStr">
        <is>
          <t>HUMAN_REVIEW_ACCOUNTABILITY</t>
        </is>
      </c>
      <c r="E9" s="14" t="inlineStr">
        <is>
          <t>人工複核與問責</t>
        </is>
      </c>
      <c r="F9" s="13" t="n">
        <v>8</v>
      </c>
      <c r="G9" s="15" t="n">
        <v>36.2733944954128</v>
      </c>
      <c r="H9" s="16" t="n">
        <v>0.2205</v>
      </c>
      <c r="I9" s="13" t="inlineStr">
        <is>
          <t>0.0009</t>
        </is>
      </c>
      <c r="J9" s="13" t="inlineStr">
        <is>
          <t>&lt;0.0001</t>
        </is>
      </c>
      <c r="K9" s="13" t="inlineStr">
        <is>
          <t>0.0024</t>
        </is>
      </c>
      <c r="L9" s="13" t="inlineStr">
        <is>
          <t>&lt;0.0001</t>
        </is>
      </c>
      <c r="M9" s="14" t="inlineStr">
        <is>
          <t>主要穩健不足呈現（四項分析皆 p_BH ≤ .05 且方向一致）；證據單元：持續；目標式人工標籤替換：未移除〔VERIFIED_SOURCE: V9 ROBUST_CORE_LOCAL_SENSITIVITY.csv (sha256 e3166ee183e1…) row RECOMMENDATION_OPTIMIZATION×HUMAN_REVIEW_ACCOUNTABILITY: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9" s="14" t="inlineStr">
        <is>
          <t>持續</t>
        </is>
      </c>
      <c r="O9" s="14" t="inlineStr">
        <is>
          <t>建議與最佳化輸出與人工複核、問責的直接配對低於基準；建議成為行動前由誰簽核較少被直接連結</t>
        </is>
      </c>
      <c r="P9" s="13" t="inlineStr">
        <is>
          <t>I1 授權行動（＋I3 橋接）</t>
        </is>
      </c>
      <c r="Q9" s="13" t="inlineStr">
        <is>
          <t>M1</t>
        </is>
      </c>
      <c r="R9" s="13" t="inlineStr">
        <is>
          <t>M3</t>
        </is>
      </c>
      <c r="S9" s="13" t="inlineStr">
        <is>
          <t>static bridge（併入 I1）</t>
        </is>
      </c>
      <c r="T9" s="14" t="inlineStr">
        <is>
          <t>建議採用前的簽核者；建議可否修改；採用與修改的實際頻率</t>
        </is>
      </c>
      <c r="U9" s="13" t="inlineStr">
        <is>
          <t>H_k（F5a）；ρ(Modify)、ρ(Use) 進期望結果（X1）</t>
        </is>
      </c>
      <c r="V9" s="14" t="inlineStr">
        <is>
          <t>一致</t>
        </is>
      </c>
      <c r="W9" s="14" t="inlineStr">
        <is>
          <t>研究者裁決（理論收斂完成）；人類 V1 盲編待完成</t>
        </is>
      </c>
      <c r="X9" s="13" t="inlineStr">
        <is>
          <t>r14/04_G01_G16_FROZEN.csv data row 8 (file line 9)</t>
        </is>
      </c>
      <c r="Y9" s="13" t="inlineStr">
        <is>
          <t>r14/14_R14_TO_G01_G16_STATUS_CROSSWALK.csv data row 8</t>
        </is>
      </c>
      <c r="Z9" s="13" t="inlineStr">
        <is>
          <t>r14/05_GAP_TO_MECHANISM_CONVERGENCE_v2_1.md line 57 (§2) and line 215 (§6)</t>
        </is>
      </c>
      <c r="AA9" s="13" t="inlineStr">
        <is>
          <t>54C_AI_BLIND_CODING_PILOT_RESULTS_v2_2.md case C14 (§3 table)</t>
        </is>
      </c>
    </row>
    <row r="10" ht="44" customHeight="1" s="9">
      <c r="A10" s="13" t="inlineStr">
        <is>
          <t>G09</t>
        </is>
      </c>
      <c r="B10" s="13" t="inlineStr">
        <is>
          <t>PREDICTION_RISK_ESTIMATION</t>
        </is>
      </c>
      <c r="C10" s="14" t="inlineStr">
        <is>
          <t>預測與風險估計</t>
        </is>
      </c>
      <c r="D10" s="13" t="inlineStr">
        <is>
          <t>GOVERNANCE_OVERSIGHT</t>
        </is>
      </c>
      <c r="E10" s="14" t="inlineStr">
        <is>
          <t>治理與監督</t>
        </is>
      </c>
      <c r="F10" s="13" t="n">
        <v>26</v>
      </c>
      <c r="G10" s="15" t="n">
        <v>89.0091743119266</v>
      </c>
      <c r="H10" s="16" t="n">
        <v>0.2921</v>
      </c>
      <c r="I10" s="13" t="inlineStr">
        <is>
          <t>0.0009</t>
        </is>
      </c>
      <c r="J10" s="13" t="inlineStr">
        <is>
          <t>&lt;0.0001</t>
        </is>
      </c>
      <c r="K10" s="13" t="inlineStr">
        <is>
          <t>0.0024</t>
        </is>
      </c>
      <c r="L10" s="13" t="inlineStr">
        <is>
          <t>&lt;0.0001</t>
        </is>
      </c>
      <c r="M10" s="14" t="inlineStr">
        <is>
          <t>主要穩健不足呈現（四項分析皆 p_BH ≤ .05 且方向一致）；證據單元：持續；目標式人工標籤替換：未移除〔VERIFIED_SOURCE: V9 ROBUST_CORE_LOCAL_SENSITIVITY.csv (sha256 e3166ee183e1…) row PREDICTION_RISK_ESTIMATION×GOVERNANCE_OVERSIGHT: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10" s="14" t="inlineStr">
        <is>
          <t>持續</t>
        </is>
      </c>
      <c r="O10" s="14" t="inlineStr">
        <is>
          <t>風險估計與治理與監督結構的直接配對低於基準</t>
        </is>
      </c>
      <c r="P10" s="13" t="inlineStr">
        <is>
          <t>I1 授權行動（企業層）</t>
        </is>
      </c>
      <c r="Q10" s="13" t="inlineStr">
        <is>
          <t>M1（anchor）</t>
        </is>
      </c>
      <c r="R10" s="13" t="inlineStr">
        <is>
          <t>—</t>
        </is>
      </c>
      <c r="S10" s="13" t="inlineStr">
        <is>
          <t>static core</t>
        </is>
      </c>
      <c r="T10" s="14" t="inlineStr">
        <is>
          <t>企業 AI 政策、禁止條件、授權變更權、名義與正式決策權等級</t>
        </is>
      </c>
      <c r="U10" s="13" t="inlineStr">
        <is>
          <t>γ ∈ Γ；q_jk ≤ Allow_γ(j,k)（F3）；G_j(γ) ≥ G^req(A_k,κ_j)（F5c）；ΔC^gov(γ) 進目標（OBJ-E）</t>
        </is>
      </c>
      <c r="V10" s="14" t="inlineStr">
        <is>
          <t>一致</t>
        </is>
      </c>
      <c r="W10" s="14" t="inlineStr">
        <is>
          <t>研究者裁決（理論收斂完成）；人類 V1 盲編待完成</t>
        </is>
      </c>
      <c r="X10" s="13" t="inlineStr">
        <is>
          <t>r14/04_G01_G16_FROZEN.csv data row 9 (file line 10)</t>
        </is>
      </c>
      <c r="Y10" s="13" t="inlineStr">
        <is>
          <t>r14/14_R14_TO_G01_G16_STATUS_CROSSWALK.csv data row 9</t>
        </is>
      </c>
      <c r="Z10" s="13" t="inlineStr">
        <is>
          <t>r14/05_GAP_TO_MECHANISM_CONVERGENCE_v2_1.md line 58 (§2) and line 213 (§6)</t>
        </is>
      </c>
      <c r="AA10" s="13" t="inlineStr">
        <is>
          <t>54C_AI_BLIND_CODING_PILOT_RESULTS_v2_2.md case C13 (§3 table)</t>
        </is>
      </c>
    </row>
    <row r="11" ht="44" customHeight="1" s="9">
      <c r="A11" s="13" t="inlineStr">
        <is>
          <t>G10</t>
        </is>
      </c>
      <c r="B11" s="13" t="inlineStr">
        <is>
          <t>PREDICTION_RISK_ESTIMATION</t>
        </is>
      </c>
      <c r="C11" s="14" t="inlineStr">
        <is>
          <t>預測與風險估計</t>
        </is>
      </c>
      <c r="D11" s="13" t="inlineStr">
        <is>
          <t>EVALUATION_SELECTION</t>
        </is>
      </c>
      <c r="E11" s="14" t="inlineStr">
        <is>
          <t>評估與選擇</t>
        </is>
      </c>
      <c r="F11" s="13" t="n">
        <v>8</v>
      </c>
      <c r="G11" s="15" t="n">
        <v>27.1266055045872</v>
      </c>
      <c r="H11" s="16" t="n">
        <v>0.2949</v>
      </c>
      <c r="I11" s="13" t="inlineStr">
        <is>
          <t>0.0009</t>
        </is>
      </c>
      <c r="J11" s="13" t="inlineStr">
        <is>
          <t>&lt;0.0001</t>
        </is>
      </c>
      <c r="K11" s="13" t="inlineStr">
        <is>
          <t>0.0058</t>
        </is>
      </c>
      <c r="L11" s="13" t="inlineStr">
        <is>
          <t>&lt;0.0001</t>
        </is>
      </c>
      <c r="M11" s="14" t="inlineStr">
        <is>
          <t>主要穩健不足呈現（四項分析皆 p_BH ≤ .05 且方向一致）；證據單元：持續；目標式人工標籤替換：未移除〔VERIFIED_SOURCE: V9 ROBUST_CORE_LOCAL_SENSITIVITY.csv (sha256 e3166ee183e1…) row PREDICTION_RISK_ESTIMATION×EVALUATION_SELECTION: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11" s="14" t="inlineStr">
        <is>
          <t>持續</t>
        </is>
      </c>
      <c r="O11" s="14" t="inlineStr">
        <is>
          <t>風險估計與評估與選擇的直接配對低於基準；風險分數如何轉為選擇門檻較少被直接連結</t>
        </is>
      </c>
      <c r="P11" s="13" t="inlineStr">
        <is>
          <t>I3 條件模組（門檻變體）</t>
        </is>
      </c>
      <c r="Q11" s="13" t="inlineStr">
        <is>
          <t>M3</t>
        </is>
      </c>
      <c r="R11" s="13" t="inlineStr">
        <is>
          <t>M4</t>
        </is>
      </c>
      <c r="S11" s="13" t="inlineStr">
        <is>
          <t>optional（data-gated）</t>
        </is>
      </c>
      <c r="T11" s="14" t="inlineStr">
        <is>
          <t>分數分布、真實標記、可回溯的門檻規則</t>
        </is>
      </c>
      <c r="U11" s="14" t="inlineStr">
        <is>
          <t>門檻變體 k_τ ∈ M_j；P(z,ω｜k_τ) 須由分數與標記資料識別</t>
        </is>
      </c>
      <c r="V11" s="14" t="inlineStr">
        <is>
          <t>分歧：AI 為 static；研究者為 optional（僅狀態不同；mapping-only）</t>
        </is>
      </c>
      <c r="W11" s="14" t="inlineStr">
        <is>
          <t>研究者裁決（理論收斂完成）；人類 V1 盲編待完成；需真實分數／標記資料才可識別</t>
        </is>
      </c>
      <c r="X11" s="13" t="inlineStr">
        <is>
          <t>r14/04_G01_G16_FROZEN.csv data row 10 (file line 11)</t>
        </is>
      </c>
      <c r="Y11" s="13" t="inlineStr">
        <is>
          <t>r14/14_R14_TO_G01_G16_STATUS_CROSSWALK.csv data row 10</t>
        </is>
      </c>
      <c r="Z11" s="13" t="inlineStr">
        <is>
          <t>r14/05_GAP_TO_MECHANISM_CONVERGENCE_v2_1.md line 59 (§2) and line 221 (§6)</t>
        </is>
      </c>
      <c r="AA11" s="13" t="inlineStr">
        <is>
          <t>54C_AI_BLIND_CODING_PILOT_RESULTS_v2_2.md case C11 (§3 table)</t>
        </is>
      </c>
    </row>
    <row r="12" ht="44" customHeight="1" s="9">
      <c r="A12" s="13" t="inlineStr">
        <is>
          <t>G11</t>
        </is>
      </c>
      <c r="B12" s="13" t="inlineStr">
        <is>
          <t>EVALUATION_ASSESSMENT</t>
        </is>
      </c>
      <c r="C12" s="14" t="inlineStr">
        <is>
          <t>評估與審核</t>
        </is>
      </c>
      <c r="D12" s="13" t="inlineStr">
        <is>
          <t>ALLOCATION_PLANNING</t>
        </is>
      </c>
      <c r="E12" s="14" t="inlineStr">
        <is>
          <t>配置與規劃</t>
        </is>
      </c>
      <c r="F12" s="13" t="n">
        <v>12</v>
      </c>
      <c r="G12" s="15" t="n">
        <v>39.6495412844037</v>
      </c>
      <c r="H12" s="16" t="n">
        <v>0.3027</v>
      </c>
      <c r="I12" s="13" t="inlineStr">
        <is>
          <t>0.0009</t>
        </is>
      </c>
      <c r="J12" s="13" t="inlineStr">
        <is>
          <t>&lt;0.0001</t>
        </is>
      </c>
      <c r="K12" s="13" t="inlineStr">
        <is>
          <t>0.0024</t>
        </is>
      </c>
      <c r="L12" s="13" t="inlineStr">
        <is>
          <t>&lt;0.0001</t>
        </is>
      </c>
      <c r="M12" s="14" t="inlineStr">
        <is>
          <t>主要穩健不足呈現（四項分析皆 p_BH ≤ .05 且方向一致）；證據單元：持續；目標式人工標籤替換：未移除〔VERIFIED_SOURCE: V9 ROBUST_CORE_LOCAL_SENSITIVITY.csv (sha256 e3166ee183e1…) row EVALUATION_ASSESSMENT×ALLOCATION_PLANNING: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12" s="14" t="inlineStr">
        <is>
          <t>持續</t>
        </is>
      </c>
      <c r="O12" s="14" t="inlineStr">
        <is>
          <t>評估與審核與配置與規劃的直接配對低於基準；評估結果如何回饋下一期配置較少被直接連結</t>
        </is>
      </c>
      <c r="P12" s="13" t="inlineStr">
        <is>
          <t>I5 學習與再配置</t>
        </is>
      </c>
      <c r="Q12" s="13" t="inlineStr">
        <is>
          <t>M5</t>
        </is>
      </c>
      <c r="R12" s="13" t="inlineStr">
        <is>
          <t>M4</t>
        </is>
      </c>
      <c r="S12" s="13" t="inlineStr">
        <is>
          <t>dynamic（M5）</t>
        </is>
      </c>
      <c r="T12" s="14" t="inlineStr">
        <is>
          <t>跨期 initiative 結果與下一期預算／配置變更紀錄</t>
        </is>
      </c>
      <c r="U12" s="14" t="inlineStr">
        <is>
          <t>跨期轉移 b_{t+1}(O_t)（D1）；不進靜態目標</t>
        </is>
      </c>
      <c r="V12" s="14" t="inlineStr">
        <is>
          <t>分歧：AI 為 M4／static（M5 次要）；研究者為 M5／dynamic（主機制與狀態皆不同；mapping-only）</t>
        </is>
      </c>
      <c r="W12" s="14" t="inlineStr">
        <is>
          <t>研究者裁決（理論收斂完成）；人類 V1 盲編待完成；需至少兩期或試點前後資料</t>
        </is>
      </c>
      <c r="X12" s="13" t="inlineStr">
        <is>
          <t>r14/04_G01_G16_FROZEN.csv data row 11 (file line 12)</t>
        </is>
      </c>
      <c r="Y12" s="13" t="inlineStr">
        <is>
          <t>r14/14_R14_TO_G01_G16_STATUS_CROSSWALK.csv data row 11</t>
        </is>
      </c>
      <c r="Z12" s="13" t="inlineStr">
        <is>
          <t>r14/05_GAP_TO_MECHANISM_CONVERGENCE_v2_1.md line 60 (§2) and line 226 (§6)</t>
        </is>
      </c>
      <c r="AA12" s="13" t="inlineStr">
        <is>
          <t>54C_AI_BLIND_CODING_PILOT_RESULTS_v2_2.md case C01 (§3 table)</t>
        </is>
      </c>
    </row>
    <row r="13" ht="44" customHeight="1" s="9">
      <c r="A13" s="13" t="inlineStr">
        <is>
          <t>G12</t>
        </is>
      </c>
      <c r="B13" s="13" t="inlineStr">
        <is>
          <t>PREDICTION_RISK_ESTIMATION</t>
        </is>
      </c>
      <c r="C13" s="14" t="inlineStr">
        <is>
          <t>預測與風險估計</t>
        </is>
      </c>
      <c r="D13" s="13" t="inlineStr">
        <is>
          <t>INFORMATION_ACQUISITION</t>
        </is>
      </c>
      <c r="E13" s="14" t="inlineStr">
        <is>
          <t>資訊取得</t>
        </is>
      </c>
      <c r="F13" s="13" t="n">
        <v>21</v>
      </c>
      <c r="G13" s="15" t="n">
        <v>68.2403669724771</v>
      </c>
      <c r="H13" s="16" t="n">
        <v>0.3077</v>
      </c>
      <c r="I13" s="13" t="inlineStr">
        <is>
          <t>0.0009</t>
        </is>
      </c>
      <c r="J13" s="13" t="inlineStr">
        <is>
          <t>&lt;0.0001</t>
        </is>
      </c>
      <c r="K13" s="13" t="inlineStr">
        <is>
          <t>0.0024</t>
        </is>
      </c>
      <c r="L13" s="13" t="inlineStr">
        <is>
          <t>&lt;0.0001</t>
        </is>
      </c>
      <c r="M13" s="14" t="inlineStr">
        <is>
          <t>主要穩健不足呈現（四項分析皆 p_BH ≤ .05 且方向一致）；證據單元：持續；目標式人工標籤替換：未移除〔VERIFIED_SOURCE: V9 ROBUST_CORE_LOCAL_SENSITIVITY.csv (sha256 e3166ee183e1…) row PREDICTION_RISK_ESTIMATION×INFORMATION_ACQUISITION: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13" s="14" t="inlineStr">
        <is>
          <t>持續</t>
        </is>
      </c>
      <c r="O13" s="14" t="inlineStr">
        <is>
          <t>風險估計與資訊取得的直接配對低於基準；風險估計如何引導先試點、再擴大的資訊取得較少被直接連結</t>
        </is>
      </c>
      <c r="P13" s="13" t="inlineStr">
        <is>
          <t>I5 學習與再配置</t>
        </is>
      </c>
      <c r="Q13" s="13" t="inlineStr">
        <is>
          <t>M5</t>
        </is>
      </c>
      <c r="R13" s="13" t="inlineStr">
        <is>
          <t>M4</t>
        </is>
      </c>
      <c r="S13" s="13" t="inlineStr">
        <is>
          <t>dynamic（M5）</t>
        </is>
      </c>
      <c r="T13" s="14" t="inlineStr">
        <is>
          <t>試點決策；試點前後參數區間的紀錄</t>
        </is>
      </c>
      <c r="U13" s="14" t="inlineStr">
        <is>
          <t>試點／資訊取得決策（D2）；靜態只作 value-of-identification 診斷</t>
        </is>
      </c>
      <c r="V13" s="14" t="inlineStr">
        <is>
          <t>一致</t>
        </is>
      </c>
      <c r="W13" s="14" t="inlineStr">
        <is>
          <t>研究者裁決（理論收斂完成）；人類 V1 盲編待完成；需至少兩期或試點前後資料</t>
        </is>
      </c>
      <c r="X13" s="13" t="inlineStr">
        <is>
          <t>r14/04_G01_G16_FROZEN.csv data row 12 (file line 13)</t>
        </is>
      </c>
      <c r="Y13" s="13" t="inlineStr">
        <is>
          <t>r14/14_R14_TO_G01_G16_STATUS_CROSSWALK.csv data row 12</t>
        </is>
      </c>
      <c r="Z13" s="13" t="inlineStr">
        <is>
          <t>r14/05_GAP_TO_MECHANISM_CONVERGENCE_v2_1.md line 61 (§2) and line 227 (§6)</t>
        </is>
      </c>
      <c r="AA13" s="13" t="inlineStr">
        <is>
          <t>54C_AI_BLIND_CODING_PILOT_RESULTS_v2_2.md case C05 (§3 table)</t>
        </is>
      </c>
    </row>
    <row r="14" ht="44" customHeight="1" s="9">
      <c r="A14" s="13" t="inlineStr">
        <is>
          <t>G13</t>
        </is>
      </c>
      <c r="B14" s="13" t="inlineStr">
        <is>
          <t>EXPLANATION_ASSURANCE</t>
        </is>
      </c>
      <c r="C14" s="14" t="inlineStr">
        <is>
          <t>解釋與保證</t>
        </is>
      </c>
      <c r="D14" s="13" t="inlineStr">
        <is>
          <t>PREDICTION_DIAGNOSIS</t>
        </is>
      </c>
      <c r="E14" s="14" t="inlineStr">
        <is>
          <t>預測與診斷</t>
        </is>
      </c>
      <c r="F14" s="13" t="n">
        <v>15</v>
      </c>
      <c r="G14" s="15" t="n">
        <v>43.5137614678899</v>
      </c>
      <c r="H14" s="16" t="n">
        <v>0.3447</v>
      </c>
      <c r="I14" s="13" t="inlineStr">
        <is>
          <t>0.0009</t>
        </is>
      </c>
      <c r="J14" s="13" t="inlineStr">
        <is>
          <t>&lt;0.0001</t>
        </is>
      </c>
      <c r="K14" s="13" t="inlineStr">
        <is>
          <t>0.0024</t>
        </is>
      </c>
      <c r="L14" s="13" t="inlineStr">
        <is>
          <t>&lt;0.0001</t>
        </is>
      </c>
      <c r="M14" s="14" t="inlineStr">
        <is>
          <t>主要穩健不足呈現（四項分析皆 p_BH ≤ .05 且方向一致）；證據單元：持續；目標式人工標籤替換：未移除〔VERIFIED_SOURCE: V9 ROBUST_CORE_LOCAL_SENSITIVITY.csv (sha256 e3166ee183e1…) row EXPLANATION_ASSURANCE×PREDICTION_DIAGNOSIS: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14" s="14" t="inlineStr">
        <is>
          <t>持續</t>
        </is>
      </c>
      <c r="O14" s="14" t="inlineStr">
        <is>
          <t>解釋與保證與預測與診斷的直接配對低於基準；解釋能力與預測決策的使用較少被直接連結</t>
        </is>
      </c>
      <c r="P14" s="13" t="inlineStr">
        <is>
          <t>I4 評估與保證（EA-X 子面向）</t>
        </is>
      </c>
      <c r="Q14" s="13" t="inlineStr">
        <is>
          <t>M4</t>
        </is>
      </c>
      <c r="R14" s="13" t="inlineStr">
        <is>
          <t>M3</t>
        </is>
      </c>
      <c r="S14" s="13" t="inlineStr">
        <is>
          <t>static conditional（EA-X）</t>
        </is>
      </c>
      <c r="T14" s="14" t="inlineStr">
        <is>
          <t>使用者能否以理由形成可檢驗的查核問題；解釋出現時的接受與查核行為</t>
        </is>
      </c>
      <c r="U14" s="13" t="inlineStr">
        <is>
          <t>EAX_k 只作 ρ(r｜k,z,ℓ) 的分組鍵（X1）；不作門檻、不作風險降低項</t>
        </is>
      </c>
      <c r="V14" s="14" t="inlineStr">
        <is>
          <t>一致</t>
        </is>
      </c>
      <c r="W14" s="14" t="inlineStr">
        <is>
          <t>研究者裁決（理論收斂完成）；人類 V1 盲編待完成；EA-X 人類內容效度待完成</t>
        </is>
      </c>
      <c r="X14" s="13" t="inlineStr">
        <is>
          <t>r14/04_G01_G16_FROZEN.csv data row 13 (file line 14)</t>
        </is>
      </c>
      <c r="Y14" s="13" t="inlineStr">
        <is>
          <t>r14/14_R14_TO_G01_G16_STATUS_CROSSWALK.csv data row 13</t>
        </is>
      </c>
      <c r="Z14" s="13" t="inlineStr">
        <is>
          <t>r14/05_GAP_TO_MECHANISM_CONVERGENCE_v2_1.md line 62 (§2) and line 224 (§6)</t>
        </is>
      </c>
      <c r="AA14" s="13" t="inlineStr">
        <is>
          <t>54C_AI_BLIND_CODING_PILOT_RESULTS_v2_2.md case C15 (§3 table)</t>
        </is>
      </c>
    </row>
    <row r="15" ht="44" customHeight="1" s="9">
      <c r="A15" s="13" t="inlineStr">
        <is>
          <t>G14</t>
        </is>
      </c>
      <c r="B15" s="13" t="inlineStr">
        <is>
          <t>PREDICTION_RISK_ESTIMATION</t>
        </is>
      </c>
      <c r="C15" s="14" t="inlineStr">
        <is>
          <t>預測與風險估計</t>
        </is>
      </c>
      <c r="D15" s="13" t="inlineStr">
        <is>
          <t>GENERAL_DECISION_PROCESS</t>
        </is>
      </c>
      <c r="E15" s="14" t="inlineStr">
        <is>
          <t>一般決策流程</t>
        </is>
      </c>
      <c r="F15" s="13" t="n">
        <v>8</v>
      </c>
      <c r="G15" s="15" t="n">
        <v>20.556880733945</v>
      </c>
      <c r="H15" s="16" t="n">
        <v>0.3892</v>
      </c>
      <c r="I15" s="13" t="inlineStr">
        <is>
          <t>0.0045</t>
        </is>
      </c>
      <c r="J15" s="13" t="inlineStr">
        <is>
          <t>0.0032</t>
        </is>
      </c>
      <c r="K15" s="13" t="inlineStr">
        <is>
          <t>0.0089</t>
        </is>
      </c>
      <c r="L15" s="13" t="inlineStr">
        <is>
          <t>&lt;0.0001</t>
        </is>
      </c>
      <c r="M15" s="14" t="inlineStr">
        <is>
          <t>主要穩健不足呈現（四項分析皆 p_BH ≤ .05 且方向一致）；證據單元：持續；目標式人工標籤替換：未移除〔VERIFIED_SOURCE: V9 ROBUST_CORE_LOCAL_SENSITIVITY.csv (sha256 e3166ee183e1…) row PREDICTION_RISK_ESTIMATION×GENERAL_DECISION_PROCESS: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15" s="14" t="inlineStr">
        <is>
          <t>持續</t>
        </is>
      </c>
      <c r="O15" s="14" t="inlineStr">
        <is>
          <t>風險估計與一般決策流程的直接配對低於基準；風險輸出如何嵌入決策流程較少被直接連結</t>
        </is>
      </c>
      <c r="P15" s="13" t="inlineStr">
        <is>
          <t>I2 路由與回復</t>
        </is>
      </c>
      <c r="Q15" s="13" t="inlineStr">
        <is>
          <t>M2</t>
        </is>
      </c>
      <c r="R15" s="13" t="inlineStr">
        <is>
          <t>M3</t>
        </is>
      </c>
      <c r="S15" s="13" t="inlineStr">
        <is>
          <t>static bridge（併入 I2）</t>
        </is>
      </c>
      <c r="T15" s="14" t="inlineStr">
        <is>
          <t>風險輸出是否被系統送入決策節點；在哪一節點被使用</t>
        </is>
      </c>
      <c r="U15" s="13" t="inlineStr">
        <is>
          <t>WI_k ≥ WI^req_γ（F5b）</t>
        </is>
      </c>
      <c r="V15" s="14" t="inlineStr">
        <is>
          <t>一致</t>
        </is>
      </c>
      <c r="W15" s="14" t="inlineStr">
        <is>
          <t>研究者裁決（理論收斂完成）；人類 V1 盲編待完成</t>
        </is>
      </c>
      <c r="X15" s="13" t="inlineStr">
        <is>
          <t>r14/04_G01_G16_FROZEN.csv data row 14 (file line 15)</t>
        </is>
      </c>
      <c r="Y15" s="13" t="inlineStr">
        <is>
          <t>r14/14_R14_TO_G01_G16_STATUS_CROSSWALK.csv data row 14</t>
        </is>
      </c>
      <c r="Z15" s="13" t="inlineStr">
        <is>
          <t>r14/05_GAP_TO_MECHANISM_CONVERGENCE_v2_1.md line 63 (§2) and line 218 (§6)</t>
        </is>
      </c>
      <c r="AA15" s="13" t="inlineStr">
        <is>
          <t>54C_AI_BLIND_CODING_PILOT_RESULTS_v2_2.md case C08 (§3 table)</t>
        </is>
      </c>
    </row>
    <row r="16" ht="44" customHeight="1" s="9">
      <c r="A16" s="13" t="inlineStr">
        <is>
          <t>G15</t>
        </is>
      </c>
      <c r="B16" s="13" t="inlineStr">
        <is>
          <t>EXPLANATION_ASSURANCE</t>
        </is>
      </c>
      <c r="C16" s="14" t="inlineStr">
        <is>
          <t>解釋與保證</t>
        </is>
      </c>
      <c r="D16" s="13" t="inlineStr">
        <is>
          <t>EVALUATION_SELECTION</t>
        </is>
      </c>
      <c r="E16" s="14" t="inlineStr">
        <is>
          <t>評估與選擇</t>
        </is>
      </c>
      <c r="F16" s="13" t="n">
        <v>7</v>
      </c>
      <c r="G16" s="15" t="n">
        <v>16.3816513761468</v>
      </c>
      <c r="H16" s="16" t="n">
        <v>0.4273</v>
      </c>
      <c r="I16" s="13" t="inlineStr">
        <is>
          <t>0.0206</t>
        </is>
      </c>
      <c r="J16" s="13" t="inlineStr">
        <is>
          <t>0.0232</t>
        </is>
      </c>
      <c r="K16" s="13" t="inlineStr">
        <is>
          <t>0.0387</t>
        </is>
      </c>
      <c r="L16" s="13" t="inlineStr">
        <is>
          <t>0.0147</t>
        </is>
      </c>
      <c r="M16" s="14" t="inlineStr">
        <is>
          <t>主要穩健不足呈現（四項分析皆 p_BH ≤ .05 且方向一致）；證據單元：邊界敏感；目標式人工標籤替換：未移除〔VERIFIED_SOURCE: V9 ROBUST_CORE_LOCAL_SENSITIVITY.csv (sha256 e3166ee183e1…) row EXPLANATION_ASSURANCE×EVALUATION_SELECTION: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16" s="14" t="inlineStr">
        <is>
          <t>邊界敏感</t>
        </is>
      </c>
      <c r="O16" s="14" t="inlineStr">
        <is>
          <t>解釋與保證與評估與選擇的直接配對低於基準</t>
        </is>
      </c>
      <c r="P16" s="13" t="inlineStr">
        <is>
          <t>I4 評估與保證（EA-X；＋I3 橋接）</t>
        </is>
      </c>
      <c r="Q16" s="13" t="inlineStr">
        <is>
          <t>M4</t>
        </is>
      </c>
      <c r="R16" s="13" t="inlineStr">
        <is>
          <t>M3</t>
        </is>
      </c>
      <c r="S16" s="13" t="inlineStr">
        <is>
          <t>static conditional（EA-X）</t>
        </is>
      </c>
      <c r="T16" s="14" t="inlineStr">
        <is>
          <t>同 G13，任務型態為評選</t>
        </is>
      </c>
      <c r="U16" s="14" t="inlineStr">
        <is>
          <t>同 G13</t>
        </is>
      </c>
      <c r="V16" s="14" t="inlineStr">
        <is>
          <t>一致</t>
        </is>
      </c>
      <c r="W16" s="14" t="inlineStr">
        <is>
          <t>研究者裁決（理論收斂完成）；人類 V1 盲編待完成；EA-X 人類內容效度待完成</t>
        </is>
      </c>
      <c r="X16" s="13" t="inlineStr">
        <is>
          <t>r14/04_G01_G16_FROZEN.csv data row 15 (file line 16)</t>
        </is>
      </c>
      <c r="Y16" s="13" t="inlineStr">
        <is>
          <t>r14/14_R14_TO_G01_G16_STATUS_CROSSWALK.csv data row 15</t>
        </is>
      </c>
      <c r="Z16" s="13" t="inlineStr">
        <is>
          <t>r14/05_GAP_TO_MECHANISM_CONVERGENCE_v2_1.md line 64 (§2) and line 225 (§6)</t>
        </is>
      </c>
      <c r="AA16" s="13" t="inlineStr">
        <is>
          <t>54C_AI_BLIND_CODING_PILOT_RESULTS_v2_2.md case C06 (§3 table)</t>
        </is>
      </c>
    </row>
    <row r="17" ht="44" customHeight="1" s="9">
      <c r="A17" s="13" t="inlineStr">
        <is>
          <t>G16</t>
        </is>
      </c>
      <c r="B17" s="13" t="inlineStr">
        <is>
          <t>COORDINATION_EXECUTION</t>
        </is>
      </c>
      <c r="C17" s="14" t="inlineStr">
        <is>
          <t>協調與執行</t>
        </is>
      </c>
      <c r="D17" s="13" t="inlineStr">
        <is>
          <t>HUMAN_REVIEW_ACCOUNTABILITY</t>
        </is>
      </c>
      <c r="E17" s="14" t="inlineStr">
        <is>
          <t>人工複核與問責</t>
        </is>
      </c>
      <c r="F17" s="13" t="n">
        <v>10</v>
      </c>
      <c r="G17" s="15" t="n">
        <v>21.297247706422</v>
      </c>
      <c r="H17" s="16" t="n">
        <v>0.4695</v>
      </c>
      <c r="I17" s="13" t="inlineStr">
        <is>
          <t>0.0169</t>
        </is>
      </c>
      <c r="J17" s="13" t="inlineStr">
        <is>
          <t>0.0168</t>
        </is>
      </c>
      <c r="K17" s="13" t="inlineStr">
        <is>
          <t>0.0137</t>
        </is>
      </c>
      <c r="L17" s="13" t="inlineStr">
        <is>
          <t>0.0086</t>
        </is>
      </c>
      <c r="M17" s="14" t="inlineStr">
        <is>
          <t>主要穩健不足呈現（四項分析皆 p_BH ≤ .05 且方向一致）；證據單元：持續；目標式人工標籤替換：未移除〔VERIFIED_SOURCE: V9 ROBUST_CORE_LOCAL_SENSITIVITY.csv (sha256 e3166ee183e1…) row COORDINATION_EXECUTION×HUMAN_REVIEW_ACCOUNTABILITY: official_core_member=YES/DEPLETED; sidecar_core_member=YES/DEPLETED; core_membership_changed=NO; cross-check V1.8 04_LOCAL_SENSITIVITY_REPRODUCTION.md T2 (sha256 d9ab7bbf8b47…); local label-replacement sidecar only (not a full reanalysis)〕</t>
        </is>
      </c>
      <c r="N17" s="14" t="inlineStr">
        <is>
          <t>持續</t>
        </is>
      </c>
      <c r="O17" s="14" t="inlineStr">
        <is>
          <t>協調與執行與人工複核、問責的直接配對低於基準；AI 已執行的行動由誰停止、誰負責較少被直接連結</t>
        </is>
      </c>
      <c r="P17" s="13" t="inlineStr">
        <is>
          <t>I1 授權行動（＋I2 橋接）</t>
        </is>
      </c>
      <c r="Q17" s="13" t="inlineStr">
        <is>
          <t>M1</t>
        </is>
      </c>
      <c r="R17" s="13" t="inlineStr">
        <is>
          <t>M2</t>
        </is>
      </c>
      <c r="S17" s="13" t="inlineStr">
        <is>
          <t>static bridge（併入 I1）</t>
        </is>
      </c>
      <c r="T17" s="14" t="inlineStr">
        <is>
          <t>執行中止權、回復路徑、事後問責紀錄</t>
        </is>
      </c>
      <c r="U17" s="13" t="inlineStr">
        <is>
          <t>A_k = 3 ⇒ H_k ≥ H^req(3,κ) 且 FB_jk = 1（F5a、F7）；回復成本進 C^impl</t>
        </is>
      </c>
      <c r="V17" s="14" t="inlineStr">
        <is>
          <t>一致</t>
        </is>
      </c>
      <c r="W17" s="14" t="inlineStr">
        <is>
          <t>研究者裁決（理論收斂完成）；人類 V1 盲編待完成</t>
        </is>
      </c>
      <c r="X17" s="13" t="inlineStr">
        <is>
          <t>r14/04_G01_G16_FROZEN.csv data row 16 (file line 17)</t>
        </is>
      </c>
      <c r="Y17" s="13" t="inlineStr">
        <is>
          <t>r14/14_R14_TO_G01_G16_STATUS_CROSSWALK.csv data row 16</t>
        </is>
      </c>
      <c r="Z17" s="13" t="inlineStr">
        <is>
          <t>r14/05_GAP_TO_MECHANISM_CONVERGENCE_v2_1.md line 65 (§2) and line 216 (§6)</t>
        </is>
      </c>
      <c r="AA17" s="13" t="inlineStr">
        <is>
          <t>54C_AI_BLIND_CODING_PILOT_RESULTS_v2_2.md case C16 (§3 table)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8" min="1" max="1"/>
    <col width="16" customWidth="1" style="8" min="2" max="2"/>
    <col width="22" customWidth="1" style="8" min="3" max="3"/>
    <col width="10" customWidth="1" style="8" min="4" max="4"/>
  </cols>
  <sheetData>
    <row r="1" ht="15" customHeight="1" s="9">
      <c r="A1" s="10" t="inlineStr">
        <is>
          <t>Quantity</t>
        </is>
      </c>
      <c r="B1" s="10" t="inlineStr">
        <is>
          <t>Count (formula)</t>
        </is>
      </c>
      <c r="C1" s="10" t="inlineStr">
        <is>
          <t>Expected (r14/05; 54C)</t>
        </is>
      </c>
      <c r="D1" s="10" t="inlineStr">
        <is>
          <t>Check</t>
        </is>
      </c>
    </row>
    <row r="2" ht="15" customHeight="1" s="9">
      <c r="A2" s="11" t="inlineStr">
        <is>
          <t>M1 (primary)</t>
        </is>
      </c>
      <c r="B2" s="11">
        <f>COUNTIF(G_to_M_matrix!Q2:Q17,"M1*")</f>
        <v/>
      </c>
      <c r="C2" s="11" t="n">
        <v>4</v>
      </c>
      <c r="D2" s="11">
        <f>IF(B2=C2,"OK","MISMATCH")</f>
        <v/>
      </c>
    </row>
    <row r="3" ht="15" customHeight="1" s="9">
      <c r="A3" s="11" t="inlineStr">
        <is>
          <t>M2 (primary)</t>
        </is>
      </c>
      <c r="B3" s="11">
        <f>COUNTIF(G_to_M_matrix!Q2:Q17,"M2*")</f>
        <v/>
      </c>
      <c r="C3" s="11" t="n">
        <v>2</v>
      </c>
      <c r="D3" s="11">
        <f>IF(B3=C3,"OK","MISMATCH")</f>
        <v/>
      </c>
    </row>
    <row r="4" ht="15" customHeight="1" s="9">
      <c r="A4" s="11" t="inlineStr">
        <is>
          <t>M3 (primary)</t>
        </is>
      </c>
      <c r="B4" s="11">
        <f>COUNTIF(G_to_M_matrix!Q2:Q17,"M3*")-COUNTIF(G_to_M_matrix!S2:S17,"optional*")</f>
        <v/>
      </c>
      <c r="C4" s="11" t="n">
        <v>2</v>
      </c>
      <c r="D4" s="11">
        <f>IF(B4=C4,"OK","MISMATCH")</f>
        <v/>
      </c>
    </row>
    <row r="5" ht="15" customHeight="1" s="9">
      <c r="A5" s="11" t="inlineStr">
        <is>
          <t>M4 (primary)</t>
        </is>
      </c>
      <c r="B5" s="11">
        <f>COUNTIF(G_to_M_matrix!Q2:Q17,"M4*")</f>
        <v/>
      </c>
      <c r="C5" s="11" t="n">
        <v>4</v>
      </c>
      <c r="D5" s="11">
        <f>IF(B5=C5,"OK","MISMATCH")</f>
        <v/>
      </c>
    </row>
    <row r="6" ht="15" customHeight="1" s="9">
      <c r="A6" s="11" t="inlineStr">
        <is>
          <t>M1–M4 static total</t>
        </is>
      </c>
      <c r="B6" s="11">
        <f>SUM(B2:B5)</f>
        <v/>
      </c>
      <c r="C6" s="11" t="n">
        <v>12</v>
      </c>
      <c r="D6" s="11">
        <f>IF(B6=C6,"OK","MISMATCH")</f>
        <v/>
      </c>
    </row>
    <row r="7" ht="15" customHeight="1" s="9">
      <c r="A7" s="11" t="inlineStr">
        <is>
          <t>Data-gated optional module (G10)</t>
        </is>
      </c>
      <c r="B7" s="11">
        <f>COUNTIF(G_to_M_matrix!S2:S17,"optional*")</f>
        <v/>
      </c>
      <c r="C7" s="11" t="n">
        <v>1</v>
      </c>
      <c r="D7" s="11">
        <f>IF(B7=C7,"OK","MISMATCH")</f>
        <v/>
      </c>
    </row>
    <row r="8" ht="15" customHeight="1" s="9">
      <c r="A8" s="11" t="inlineStr">
        <is>
          <t>M5 longitudinal extension (G11, G12)</t>
        </is>
      </c>
      <c r="B8" s="11">
        <f>COUNTIF(G_to_M_matrix!Q2:Q17,"M5*")</f>
        <v/>
      </c>
      <c r="C8" s="11" t="n">
        <v>2</v>
      </c>
      <c r="D8" s="11">
        <f>IF(B8=C8,"OK","MISMATCH")</f>
        <v/>
      </c>
    </row>
    <row r="9" ht="15" customHeight="1" s="9">
      <c r="A9" s="11" t="inlineStr">
        <is>
          <t>Evidence layer only (G04)</t>
        </is>
      </c>
      <c r="B9" s="11">
        <f>COUNTIF(G_to_M_matrix!S2:S17,"evidence-only*")</f>
        <v/>
      </c>
      <c r="C9" s="11" t="n">
        <v>1</v>
      </c>
      <c r="D9" s="11">
        <f>IF(B9=C9,"OK","MISMATCH")</f>
        <v/>
      </c>
    </row>
    <row r="10" ht="15" customHeight="1" s="9">
      <c r="A10" s="11" t="inlineStr">
        <is>
          <t>Total G</t>
        </is>
      </c>
      <c r="B10" s="11">
        <f>SUM(B6:B9)</f>
        <v/>
      </c>
      <c r="C10" s="11" t="n">
        <v>16</v>
      </c>
      <c r="D10" s="11">
        <f>IF(B10=C10,"OK","MISMATCH")</f>
        <v/>
      </c>
    </row>
    <row r="11" ht="15" customHeight="1" s="9">
      <c r="A11" s="11" t="inlineStr">
        <is>
          <t>Evidence-unit boundary-sensitive (G07, G15)</t>
        </is>
      </c>
      <c r="B11" s="11">
        <f>COUNTIF(G_to_M_matrix!N2:N17,"邊界敏感")</f>
        <v/>
      </c>
      <c r="C11" s="11" t="n">
        <v>2</v>
      </c>
      <c r="D11" s="11">
        <f>IF(B11=C11,"OK","MISMATCH")</f>
        <v/>
      </c>
    </row>
    <row r="12" ht="15" customHeight="1" s="9">
      <c r="A12" s="11" t="inlineStr">
        <is>
          <t>AI-pilot disagreement (G04, G10, G11)</t>
        </is>
      </c>
      <c r="B12" s="11">
        <f>COUNTIF(G_to_M_matrix!V2:V17,"分歧*")</f>
        <v/>
      </c>
      <c r="C12" s="11" t="n">
        <v>3</v>
      </c>
      <c r="D12" s="11">
        <f>IF(B12=C12,"OK","MISMATCH")</f>
        <v/>
      </c>
    </row>
    <row r="14" ht="15" customHeight="1" s="9">
      <c r="A14" s="11" t="inlineStr">
        <is>
          <t>Expected values are hardcoded from r14/05 §3 Q1 table and 54C §4 (source: research files, not computed here).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2026-10-13T17:01:46Z</dcterms:created>
  <dcterms:modified xmlns:dcterms="http://purl.org/dc/terms/" xmlns:xsi="http://www.w3.org/2001/XMLSchema-instance" xsi:type="dcterms:W3CDTF">2026-10-13T18:57:29Z</dcterms:modified>
  <cp:revision>0</cp:revision>
</cp:coreProperties>
</file>